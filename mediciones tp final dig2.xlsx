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<sst xmlns="http://schemas.openxmlformats.org/spreadsheetml/2006/main" count="18" uniqueCount="14">
  <si>
    <t xml:space="preserve">seno </t>
  </si>
  <si>
    <t>osciloscopio</t>
  </si>
  <si>
    <t>tp</t>
  </si>
  <si>
    <t>diferencia en frecuencia</t>
  </si>
  <si>
    <t>diferencia absoluta en vmed</t>
  </si>
  <si>
    <t>hz</t>
  </si>
  <si>
    <t>vmax</t>
  </si>
  <si>
    <t>freq</t>
  </si>
  <si>
    <t>pk pk</t>
  </si>
  <si>
    <t>vmed</t>
  </si>
  <si>
    <t>voltios</t>
  </si>
  <si>
    <t>frecuencia</t>
  </si>
  <si>
    <t>voltaje</t>
  </si>
  <si>
    <t>promedios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</si>
</sst>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0" xfId="0" applyFont="1" applyNumberFormat="1"/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000">
                <a:solidFill>
                  <a:srgbClr val="000000"/>
                </a:solidFill>
                <a:latin typeface="Arial black"/>
              </a:defRPr>
            </a:pPr>
            <a:r>
              <a:rPr b="1" i="0" sz="3000">
                <a:solidFill>
                  <a:srgbClr val="000000"/>
                </a:solidFill>
                <a:latin typeface="Arial black"/>
              </a:rPr>
              <a:t>Medición de frecuencia </a:t>
            </a:r>
          </a:p>
        </c:rich>
      </c:tx>
      <c:overlay val="0"/>
    </c:title>
    <c:plotArea>
      <c:layout/>
      <c:lineChart>
        <c:ser>
          <c:idx val="0"/>
          <c:order val="0"/>
          <c:tx>
            <c:v>Pic</c:v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'Hoja 1'!$A$3:$A$10</c:f>
            </c:strRef>
          </c:cat>
          <c:val>
            <c:numRef>
              <c:f>'Hoja 1'!$I$3:$I$10</c:f>
              <c:numCache/>
            </c:numRef>
          </c:val>
          <c:smooth val="0"/>
        </c:ser>
        <c:ser>
          <c:idx val="1"/>
          <c:order val="1"/>
          <c:tx>
            <c:v>Osciloscopio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1'!$A$3:$A$10</c:f>
            </c:strRef>
          </c:cat>
          <c:val>
            <c:numRef>
              <c:f>'Hoja 1'!$D$3:$D$10</c:f>
              <c:numCache/>
            </c:numRef>
          </c:val>
          <c:smooth val="0"/>
        </c:ser>
        <c:axId val="492351317"/>
        <c:axId val="511823641"/>
      </c:lineChart>
      <c:catAx>
        <c:axId val="492351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Frecuencia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823641"/>
      </c:catAx>
      <c:valAx>
        <c:axId val="511823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Frecuencia medida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492351317"/>
      </c:valAx>
      <c:lineChart>
        <c:varyColors val="0"/>
        <c:ser>
          <c:idx val="2"/>
          <c:order val="2"/>
          <c:tx>
            <c:v>Diferencia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'Hoja 1'!$A$3:$A$10</c:f>
            </c:strRef>
          </c:cat>
          <c:val>
            <c:numRef>
              <c:f>'Hoja 1'!$P$3:$P$10</c:f>
              <c:numCache/>
            </c:numRef>
          </c:val>
          <c:smooth val="0"/>
        </c:ser>
        <c:axId val="847843997"/>
        <c:axId val="957608409"/>
      </c:lineChart>
      <c:catAx>
        <c:axId val="84784399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608409"/>
      </c:catAx>
      <c:valAx>
        <c:axId val="95760840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847843997"/>
        <c:crosses val="max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000">
                <a:solidFill>
                  <a:srgbClr val="000000"/>
                </a:solidFill>
                <a:latin typeface="Arial black"/>
              </a:defRPr>
            </a:pPr>
            <a:r>
              <a:rPr b="1" i="0" sz="3000">
                <a:solidFill>
                  <a:srgbClr val="000000"/>
                </a:solidFill>
                <a:latin typeface="Arial black"/>
              </a:rPr>
              <a:t>Medición de voltaje medio</a:t>
            </a:r>
          </a:p>
        </c:rich>
      </c:tx>
      <c:overlay val="0"/>
    </c:title>
    <c:plotArea>
      <c:layout/>
      <c:lineChart>
        <c:ser>
          <c:idx val="0"/>
          <c:order val="0"/>
          <c:tx>
            <c:v>Pic</c:v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'Hoja 1'!$A$15:$A$25</c:f>
            </c:strRef>
          </c:cat>
          <c:val>
            <c:numRef>
              <c:f>'Hoja 1'!$K$15:$K$25</c:f>
              <c:numCache/>
            </c:numRef>
          </c:val>
          <c:smooth val="0"/>
        </c:ser>
        <c:ser>
          <c:idx val="1"/>
          <c:order val="1"/>
          <c:tx>
            <c:v>Osciloscopio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1'!$A$15:$A$25</c:f>
            </c:strRef>
          </c:cat>
          <c:val>
            <c:numRef>
              <c:f>'Hoja 1'!$F$15:$F$25</c:f>
              <c:numCache/>
            </c:numRef>
          </c:val>
          <c:smooth val="0"/>
        </c:ser>
        <c:axId val="1913757011"/>
        <c:axId val="2001609420"/>
      </c:lineChart>
      <c:catAx>
        <c:axId val="1913757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Voltaje fuente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609420"/>
      </c:catAx>
      <c:valAx>
        <c:axId val="2001609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Voltaje medido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913757011"/>
      </c:valAx>
      <c:lineChart>
        <c:varyColors val="0"/>
        <c:ser>
          <c:idx val="2"/>
          <c:order val="2"/>
          <c:tx>
            <c:v>Diferencia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'Hoja 1'!$A$15:$A$25</c:f>
            </c:strRef>
          </c:cat>
          <c:val>
            <c:numRef>
              <c:f>'Hoja 1'!$R$15:$R$26</c:f>
              <c:numCache/>
            </c:numRef>
          </c:val>
          <c:smooth val="0"/>
        </c:ser>
        <c:axId val="566798314"/>
        <c:axId val="1978619660"/>
      </c:lineChart>
      <c:catAx>
        <c:axId val="56679831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619660"/>
      </c:catAx>
      <c:valAx>
        <c:axId val="197861966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566798314"/>
        <c:crosses val="max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29</xdr:row>
      <xdr:rowOff>104775</xdr:rowOff>
    </xdr:from>
    <xdr:ext cx="10515600" cy="64960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533400</xdr:colOff>
      <xdr:row>29</xdr:row>
      <xdr:rowOff>114300</xdr:rowOff>
    </xdr:from>
    <xdr:ext cx="10515600" cy="64960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H1" s="1" t="s">
        <v>2</v>
      </c>
      <c r="P1" s="1" t="s">
        <v>3</v>
      </c>
      <c r="R1" s="1" t="s">
        <v>4</v>
      </c>
    </row>
    <row r="2">
      <c r="A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H2" s="1" t="s">
        <v>6</v>
      </c>
      <c r="I2" s="1" t="s">
        <v>7</v>
      </c>
      <c r="J2" s="1" t="s">
        <v>8</v>
      </c>
      <c r="K2" s="1" t="s">
        <v>9</v>
      </c>
    </row>
    <row r="3">
      <c r="A3" s="1">
        <v>1.0</v>
      </c>
      <c r="C3" s="1">
        <v>4.76</v>
      </c>
      <c r="D3" s="2">
        <v>1.04</v>
      </c>
      <c r="E3" s="1">
        <v>3.96</v>
      </c>
      <c r="F3" s="1">
        <v>2.7</v>
      </c>
      <c r="G3" s="3"/>
      <c r="H3" s="2">
        <v>4.902</v>
      </c>
      <c r="I3" s="2">
        <v>1.22</v>
      </c>
      <c r="J3" s="1">
        <v>4.02</v>
      </c>
      <c r="K3" s="1">
        <v>2.853</v>
      </c>
      <c r="P3" s="4">
        <f t="shared" ref="P3:P10" si="1">abs((I3-D3)/D3)</f>
        <v>0.1730769231</v>
      </c>
      <c r="Q3" s="4"/>
      <c r="R3" s="4">
        <f t="shared" ref="R3:R10" si="2">abs((K3-F3)/F3)</f>
        <v>0.05666666667</v>
      </c>
    </row>
    <row r="4">
      <c r="A4" s="1">
        <v>2.5</v>
      </c>
      <c r="C4" s="1">
        <v>4.76</v>
      </c>
      <c r="D4" s="1">
        <v>2.77</v>
      </c>
      <c r="E4" s="1">
        <v>4.0</v>
      </c>
      <c r="F4" s="1">
        <v>2.84</v>
      </c>
      <c r="G4" s="3"/>
      <c r="H4" s="2">
        <v>5.0</v>
      </c>
      <c r="I4" s="2">
        <v>3.35</v>
      </c>
      <c r="J4" s="1">
        <v>4.157</v>
      </c>
      <c r="K4" s="1">
        <v>2.9</v>
      </c>
      <c r="P4" s="4">
        <f t="shared" si="1"/>
        <v>0.2093862816</v>
      </c>
      <c r="R4" s="4">
        <f t="shared" si="2"/>
        <v>0.02112676056</v>
      </c>
    </row>
    <row r="5">
      <c r="A5" s="1">
        <v>5.0</v>
      </c>
      <c r="C5" s="1">
        <v>4.76</v>
      </c>
      <c r="D5" s="1">
        <v>5.01</v>
      </c>
      <c r="E5" s="1">
        <v>3.96</v>
      </c>
      <c r="F5" s="1">
        <v>2.82</v>
      </c>
      <c r="H5" s="1">
        <v>4.992</v>
      </c>
      <c r="I5" s="1">
        <v>4.25</v>
      </c>
      <c r="J5" s="1">
        <v>4.078</v>
      </c>
      <c r="K5" s="1">
        <v>2.885</v>
      </c>
      <c r="P5" s="4">
        <f t="shared" si="1"/>
        <v>0.1516966068</v>
      </c>
      <c r="R5" s="4">
        <f t="shared" si="2"/>
        <v>0.02304964539</v>
      </c>
    </row>
    <row r="6">
      <c r="A6" s="1">
        <v>10.0</v>
      </c>
      <c r="C6" s="1">
        <v>4.76</v>
      </c>
      <c r="D6" s="1">
        <v>10.22</v>
      </c>
      <c r="E6" s="1">
        <v>3.96</v>
      </c>
      <c r="F6" s="1">
        <v>2.85</v>
      </c>
      <c r="G6" s="3"/>
      <c r="H6" s="2">
        <v>4.98</v>
      </c>
      <c r="I6" s="2">
        <v>8.67</v>
      </c>
      <c r="J6" s="1">
        <v>4.137</v>
      </c>
      <c r="K6" s="1">
        <v>2.921</v>
      </c>
      <c r="P6" s="4">
        <f t="shared" si="1"/>
        <v>0.1516634051</v>
      </c>
      <c r="R6" s="4">
        <f t="shared" si="2"/>
        <v>0.0249122807</v>
      </c>
    </row>
    <row r="7">
      <c r="A7" s="1">
        <v>25.0</v>
      </c>
      <c r="C7" s="1">
        <v>4.76</v>
      </c>
      <c r="D7" s="1">
        <v>25.06</v>
      </c>
      <c r="E7" s="1">
        <v>3.96</v>
      </c>
      <c r="F7" s="1">
        <v>2.83</v>
      </c>
      <c r="G7" s="3"/>
      <c r="H7" s="2">
        <v>5.0</v>
      </c>
      <c r="I7" s="2">
        <v>21.28</v>
      </c>
      <c r="J7" s="1">
        <v>4.137</v>
      </c>
      <c r="K7" s="1">
        <v>2.952</v>
      </c>
      <c r="P7" s="4">
        <f t="shared" si="1"/>
        <v>0.1508379888</v>
      </c>
      <c r="R7" s="4">
        <f t="shared" si="2"/>
        <v>0.04310954064</v>
      </c>
    </row>
    <row r="8">
      <c r="A8" s="1">
        <v>50.0</v>
      </c>
      <c r="C8" s="1">
        <v>4.76</v>
      </c>
      <c r="D8" s="1">
        <v>50.99</v>
      </c>
      <c r="E8" s="1">
        <v>3.96</v>
      </c>
      <c r="F8" s="1">
        <v>2.86</v>
      </c>
      <c r="G8" s="3"/>
      <c r="H8" s="2">
        <v>4.98</v>
      </c>
      <c r="I8" s="2">
        <v>43.1</v>
      </c>
      <c r="J8" s="1">
        <v>4.118</v>
      </c>
      <c r="K8" s="1">
        <v>2.88</v>
      </c>
      <c r="P8" s="4">
        <f t="shared" si="1"/>
        <v>0.1547362228</v>
      </c>
      <c r="R8" s="4">
        <f t="shared" si="2"/>
        <v>0.006993006993</v>
      </c>
    </row>
    <row r="9">
      <c r="A9" s="1">
        <v>100.0</v>
      </c>
      <c r="C9" s="1">
        <v>4.76</v>
      </c>
      <c r="D9" s="1">
        <v>102.53</v>
      </c>
      <c r="E9" s="1">
        <v>4.0</v>
      </c>
      <c r="F9" s="1">
        <v>2.85</v>
      </c>
      <c r="G9" s="2"/>
      <c r="H9" s="2">
        <v>4.98</v>
      </c>
      <c r="I9" s="2">
        <v>86.61</v>
      </c>
      <c r="J9" s="1">
        <v>4.098</v>
      </c>
      <c r="K9" s="1">
        <v>2.952</v>
      </c>
      <c r="P9" s="4">
        <f t="shared" si="1"/>
        <v>0.1552716278</v>
      </c>
      <c r="R9" s="4">
        <f t="shared" si="2"/>
        <v>0.03578947368</v>
      </c>
    </row>
    <row r="10">
      <c r="A10" s="1">
        <v>200.0</v>
      </c>
      <c r="C10" s="1">
        <v>4.76</v>
      </c>
      <c r="D10" s="1">
        <v>197.22</v>
      </c>
      <c r="E10" s="1">
        <v>3.96</v>
      </c>
      <c r="F10" s="1">
        <v>2.8</v>
      </c>
      <c r="G10" s="2"/>
      <c r="H10" s="2">
        <v>4.863</v>
      </c>
      <c r="I10" s="2">
        <v>166.67</v>
      </c>
      <c r="J10" s="1">
        <v>3.902</v>
      </c>
      <c r="K10" s="1">
        <v>2.767</v>
      </c>
      <c r="P10" s="4">
        <f t="shared" si="1"/>
        <v>0.1549031538</v>
      </c>
      <c r="R10" s="4">
        <f t="shared" si="2"/>
        <v>0.01178571429</v>
      </c>
    </row>
    <row r="11">
      <c r="R11" s="4"/>
    </row>
    <row r="13">
      <c r="A13" s="1" t="s">
        <v>10</v>
      </c>
    </row>
    <row r="15">
      <c r="A15" s="1">
        <v>0.0</v>
      </c>
      <c r="C15" s="1">
        <v>0.28</v>
      </c>
      <c r="E15" s="1">
        <v>0.8</v>
      </c>
      <c r="F15" s="1">
        <v>0.0</v>
      </c>
      <c r="H15" s="1">
        <v>0.039</v>
      </c>
      <c r="J15" s="1">
        <v>0.039</v>
      </c>
      <c r="K15" s="1">
        <v>0.0</v>
      </c>
      <c r="R15" s="5">
        <v>0.0</v>
      </c>
    </row>
    <row r="16">
      <c r="A16" s="1">
        <v>0.5</v>
      </c>
      <c r="C16" s="1">
        <v>0.84</v>
      </c>
      <c r="E16" s="1">
        <v>1.0</v>
      </c>
      <c r="F16" s="1">
        <v>0.474</v>
      </c>
      <c r="H16" s="1">
        <v>0.569</v>
      </c>
      <c r="J16" s="1">
        <v>0.118</v>
      </c>
      <c r="K16" s="1">
        <v>0.532</v>
      </c>
      <c r="R16" s="4">
        <f t="shared" ref="R16:R25" si="3">abs((K16-F16)/F16)</f>
        <v>0.1223628692</v>
      </c>
    </row>
    <row r="17">
      <c r="A17" s="1">
        <v>1.0</v>
      </c>
      <c r="C17" s="1">
        <v>1.32</v>
      </c>
      <c r="E17" s="1">
        <v>0.88</v>
      </c>
      <c r="F17" s="1">
        <v>0.975</v>
      </c>
      <c r="H17" s="1">
        <v>1.098</v>
      </c>
      <c r="J17" s="1">
        <v>0.176</v>
      </c>
      <c r="K17" s="1">
        <v>1.048</v>
      </c>
      <c r="R17" s="4">
        <f t="shared" si="3"/>
        <v>0.07487179487</v>
      </c>
    </row>
    <row r="18">
      <c r="A18" s="1">
        <v>1.5</v>
      </c>
      <c r="C18" s="1">
        <v>1.8</v>
      </c>
      <c r="E18" s="1">
        <v>0.96</v>
      </c>
      <c r="F18" s="1">
        <v>1.47</v>
      </c>
      <c r="H18" s="1">
        <v>1.608</v>
      </c>
      <c r="J18" s="1">
        <v>0.157</v>
      </c>
      <c r="K18" s="1">
        <v>1.553</v>
      </c>
      <c r="R18" s="4">
        <f t="shared" si="3"/>
        <v>0.05646258503</v>
      </c>
    </row>
    <row r="19">
      <c r="A19" s="1">
        <v>2.0</v>
      </c>
      <c r="C19" s="1">
        <v>2.28</v>
      </c>
      <c r="E19" s="1">
        <v>0.96</v>
      </c>
      <c r="F19" s="1">
        <v>1.95</v>
      </c>
      <c r="H19" s="1">
        <v>2.137</v>
      </c>
      <c r="J19" s="1">
        <v>0.275</v>
      </c>
      <c r="K19" s="1">
        <v>2.084</v>
      </c>
      <c r="R19" s="4">
        <f t="shared" si="3"/>
        <v>0.06871794872</v>
      </c>
    </row>
    <row r="20">
      <c r="A20" s="1">
        <v>2.5</v>
      </c>
      <c r="C20" s="1">
        <v>2.8</v>
      </c>
      <c r="E20" s="1">
        <v>0.88</v>
      </c>
      <c r="F20" s="1">
        <v>2.46</v>
      </c>
      <c r="H20" s="1">
        <v>2.667</v>
      </c>
      <c r="J20" s="1">
        <v>0.167</v>
      </c>
      <c r="K20" s="1">
        <v>2.618</v>
      </c>
      <c r="R20" s="4">
        <f t="shared" si="3"/>
        <v>0.06422764228</v>
      </c>
    </row>
    <row r="21">
      <c r="A21" s="1">
        <v>3.0</v>
      </c>
      <c r="C21" s="1">
        <v>3.32</v>
      </c>
      <c r="E21" s="1">
        <v>0.88</v>
      </c>
      <c r="F21" s="1">
        <v>2.95</v>
      </c>
      <c r="H21" s="1">
        <v>3.196</v>
      </c>
      <c r="J21" s="1">
        <v>0.216</v>
      </c>
      <c r="K21" s="1">
        <v>3.129</v>
      </c>
      <c r="R21" s="4">
        <f t="shared" si="3"/>
        <v>0.0606779661</v>
      </c>
    </row>
    <row r="22">
      <c r="A22" s="1">
        <v>3.5</v>
      </c>
      <c r="C22" s="1">
        <v>3.8</v>
      </c>
      <c r="E22" s="1">
        <v>0.96</v>
      </c>
      <c r="F22" s="1">
        <v>3.42</v>
      </c>
      <c r="H22" s="1">
        <v>3.725</v>
      </c>
      <c r="J22" s="1">
        <v>0.176</v>
      </c>
      <c r="K22" s="1">
        <v>3.677</v>
      </c>
      <c r="R22" s="4">
        <f t="shared" si="3"/>
        <v>0.07514619883</v>
      </c>
    </row>
    <row r="23">
      <c r="A23" s="1">
        <v>4.0</v>
      </c>
      <c r="C23" s="1">
        <v>4.36</v>
      </c>
      <c r="E23" s="1">
        <v>1.04</v>
      </c>
      <c r="F23" s="1">
        <v>3.96</v>
      </c>
      <c r="H23" s="1">
        <v>4.235</v>
      </c>
      <c r="J23" s="1">
        <v>0.216</v>
      </c>
      <c r="K23" s="1">
        <v>4.159</v>
      </c>
      <c r="R23" s="4">
        <f t="shared" si="3"/>
        <v>0.05025252525</v>
      </c>
    </row>
    <row r="24">
      <c r="A24" s="1">
        <v>4.5</v>
      </c>
      <c r="C24" s="1">
        <v>4.84</v>
      </c>
      <c r="E24" s="1">
        <v>1.0</v>
      </c>
      <c r="F24" s="1">
        <v>4.46</v>
      </c>
      <c r="H24" s="1">
        <v>4.748</v>
      </c>
      <c r="J24" s="1">
        <v>0.176</v>
      </c>
      <c r="K24" s="1">
        <v>4.676</v>
      </c>
      <c r="R24" s="4">
        <f t="shared" si="3"/>
        <v>0.04843049327</v>
      </c>
    </row>
    <row r="25">
      <c r="A25" s="1">
        <v>5.0</v>
      </c>
      <c r="C25" s="1">
        <v>5.2</v>
      </c>
      <c r="E25" s="1">
        <v>1.0</v>
      </c>
      <c r="F25" s="1">
        <v>4.93</v>
      </c>
      <c r="H25" s="1">
        <v>5.0</v>
      </c>
      <c r="J25" s="1">
        <v>0.078</v>
      </c>
      <c r="K25" s="1">
        <v>5.0</v>
      </c>
      <c r="R25" s="4">
        <f t="shared" si="3"/>
        <v>0.01419878296</v>
      </c>
    </row>
    <row r="26">
      <c r="P26" s="1" t="s">
        <v>11</v>
      </c>
      <c r="R26" s="1" t="s">
        <v>12</v>
      </c>
    </row>
    <row r="27">
      <c r="O27" s="1" t="s">
        <v>13</v>
      </c>
      <c r="P27" s="4">
        <f>AVERAGE(P3:P10)</f>
        <v>0.1626965262</v>
      </c>
      <c r="R27" s="4">
        <f>AVERAGE(R3:R26)</f>
        <v>0.04519904713</v>
      </c>
    </row>
  </sheetData>
  <drawing r:id="rId1"/>
</worksheet>
</file>